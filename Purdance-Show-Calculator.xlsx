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 This Sample" sheetId="1" state="visible" r:id="rId1"/>
    <sheet xmlns:r="http://schemas.openxmlformats.org/officeDocument/2006/relationships" name="Show Calculator" sheetId="2" state="visible" r:id="rId2"/>
    <sheet xmlns:r="http://schemas.openxmlformats.org/officeDocument/2006/relationships" name="Performance Time Calculator" sheetId="3" state="visible" r:id="rId3"/>
    <sheet xmlns:r="http://schemas.openxmlformats.org/officeDocument/2006/relationships" name="Tech Time Calculator" sheetId="4" state="visible" r:id="rId4"/>
    <sheet xmlns:r="http://schemas.openxmlformats.org/officeDocument/2006/relationships" name="Day Schedule" sheetId="5" state="visible" r:id="rId5"/>
    <sheet xmlns:r="http://schemas.openxmlformats.org/officeDocument/2006/relationships" name="Follow Up Submis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h:mm:ss am/pm"/>
    <numFmt numFmtId="165" formatCode="hh&quot;:&quot;mm&quot;:&quot;ss&quot; &quot;am/pm"/>
    <numFmt numFmtId="166" formatCode="h:mm am/pm"/>
  </numFmts>
  <fonts count="15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  <scheme val="minor"/>
    </font>
    <font>
      <name val="Arial"/>
      <color theme="1"/>
    </font>
    <font>
      <name val="Arial"/>
      <b val="1"/>
      <color rgb="FF000000"/>
      <sz val="10"/>
    </font>
    <font>
      <name val="Arial"/>
      <color rgb="FF000000"/>
    </font>
    <font/>
    <font>
      <name val="Arial"/>
      <b val="1"/>
      <color rgb="FF000000"/>
    </font>
    <font>
      <name val="Arial"/>
      <b val="1"/>
      <color theme="1"/>
      <sz val="12"/>
    </font>
    <font>
      <name val="Arial"/>
      <color rgb="FF000000"/>
      <sz val="12"/>
    </font>
    <font>
      <name val="Arial"/>
      <color theme="1"/>
      <sz val="12"/>
    </font>
    <font>
      <name val="Calibri"/>
      <b val="1"/>
      <sz val="14"/>
    </font>
    <font>
      <name val="Calibri"/>
      <sz val="11"/>
    </font>
    <font>
      <name val="Calibri"/>
      <b val="1"/>
      <sz val="12"/>
    </font>
  </fonts>
  <fills count="10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B4A7D6"/>
        <bgColor rgb="FFB4A7D6"/>
      </patternFill>
    </fill>
    <fill>
      <patternFill patternType="solid">
        <fgColor rgb="FFEFEFEF"/>
        <bgColor rgb="FFEFEFEF"/>
      </patternFill>
    </fill>
    <fill>
      <patternFill patternType="solid">
        <fgColor rgb="FF76A5AF"/>
        <bgColor rgb="FF76A5AF"/>
      </patternFill>
    </fill>
    <fill>
      <patternFill patternType="solid">
        <fgColor rgb="FFDD7E6B"/>
        <bgColor rgb="FFDD7E6B"/>
      </patternFill>
    </fill>
  </fills>
  <borders count="16">
    <border/>
    <border>
      <right style="thin">
        <color rgb="FFFFFFFF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2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49" fontId="2" fillId="2" borderId="1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bottom"/>
    </xf>
    <xf numFmtId="46" fontId="3" fillId="0" borderId="0" pivotButton="0" quotePrefix="0" xfId="0"/>
    <xf numFmtId="49" fontId="3" fillId="0" borderId="0" pivotButton="0" quotePrefix="0" xfId="0"/>
    <xf numFmtId="49" fontId="4" fillId="3" borderId="1" applyAlignment="1" pivotButton="0" quotePrefix="0" xfId="0">
      <alignment vertical="bottom"/>
    </xf>
    <xf numFmtId="0" fontId="1" fillId="4" borderId="0" pivotButton="0" quotePrefix="0" xfId="0"/>
    <xf numFmtId="46" fontId="1" fillId="4" borderId="0" pivotButton="0" quotePrefix="0" xfId="0"/>
    <xf numFmtId="0" fontId="3" fillId="0" borderId="0" pivotButton="0" quotePrefix="0" xfId="0"/>
    <xf numFmtId="49" fontId="3" fillId="0" borderId="0" pivotButton="0" quotePrefix="0" xfId="0"/>
    <xf numFmtId="49" fontId="4" fillId="0" borderId="1" applyAlignment="1" pivotButton="0" quotePrefix="0" xfId="0">
      <alignment vertical="bottom"/>
    </xf>
    <xf numFmtId="49" fontId="3" fillId="0" borderId="0" pivotButton="0" quotePrefix="0" xfId="0"/>
    <xf numFmtId="46" fontId="1" fillId="5" borderId="0" pivotButton="0" quotePrefix="0" xfId="0"/>
    <xf numFmtId="0" fontId="1" fillId="5" borderId="0" pivotButton="0" quotePrefix="0" xfId="0"/>
    <xf numFmtId="0" fontId="1" fillId="5" borderId="0" pivotButton="0" quotePrefix="0" xfId="0"/>
    <xf numFmtId="0" fontId="5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164" fontId="4" fillId="3" borderId="2" applyAlignment="1" pivotButton="0" quotePrefix="0" xfId="0">
      <alignment horizontal="center" vertical="bottom" wrapText="1"/>
    </xf>
    <xf numFmtId="45" fontId="4" fillId="3" borderId="2" applyAlignment="1" pivotButton="0" quotePrefix="0" xfId="0">
      <alignment horizontal="center" vertical="bottom" wrapText="1"/>
    </xf>
    <xf numFmtId="0" fontId="3" fillId="3" borderId="0" applyAlignment="1" pivotButton="0" quotePrefix="0" xfId="0">
      <alignment horizontal="center"/>
    </xf>
    <xf numFmtId="0" fontId="6" fillId="3" borderId="2" applyAlignment="1" pivotButton="0" quotePrefix="0" xfId="0">
      <alignment horizontal="center" wrapText="1"/>
    </xf>
    <xf numFmtId="0" fontId="3" fillId="3" borderId="0" applyAlignment="1" pivotButton="0" quotePrefix="0" xfId="0">
      <alignment horizontal="left"/>
    </xf>
    <xf numFmtId="165" fontId="4" fillId="7" borderId="2" applyAlignment="1" pivotButton="0" quotePrefix="0" xfId="0">
      <alignment horizontal="center" vertical="bottom" wrapText="1"/>
    </xf>
    <xf numFmtId="45" fontId="4" fillId="7" borderId="2" applyAlignment="1" pivotButton="0" quotePrefix="0" xfId="0">
      <alignment horizontal="center" vertical="bottom" wrapText="1"/>
    </xf>
    <xf numFmtId="0" fontId="6" fillId="7" borderId="2" applyAlignment="1" pivotButton="0" quotePrefix="0" xfId="0">
      <alignment horizontal="center" wrapText="1"/>
    </xf>
    <xf numFmtId="0" fontId="4" fillId="7" borderId="0" applyAlignment="1" pivotButton="0" quotePrefix="0" xfId="0">
      <alignment horizontal="left" vertical="bottom"/>
    </xf>
    <xf numFmtId="0" fontId="7" fillId="7" borderId="1" pivotButton="0" quotePrefix="0" xfId="0"/>
    <xf numFmtId="0" fontId="2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4" fillId="3" borderId="2" applyAlignment="1" pivotButton="0" quotePrefix="0" xfId="0">
      <alignment horizontal="center" vertical="bottom" wrapText="1"/>
    </xf>
    <xf numFmtId="0" fontId="4" fillId="3" borderId="0" applyAlignment="1" pivotButton="0" quotePrefix="0" xfId="0">
      <alignment horizontal="left" vertical="bottom"/>
    </xf>
    <xf numFmtId="0" fontId="7" fillId="3" borderId="1" pivotButton="0" quotePrefix="0" xfId="0"/>
    <xf numFmtId="0" fontId="4" fillId="0" borderId="0" applyAlignment="1" pivotButton="0" quotePrefix="0" xfId="0">
      <alignment horizontal="right" vertical="bottom"/>
    </xf>
    <xf numFmtId="164" fontId="4" fillId="7" borderId="2" applyAlignment="1" pivotButton="0" quotePrefix="0" xfId="0">
      <alignment horizontal="center" vertical="bottom" wrapText="1"/>
    </xf>
    <xf numFmtId="0" fontId="3" fillId="7" borderId="0" applyAlignment="1" pivotButton="0" quotePrefix="0" xfId="0">
      <alignment horizontal="left"/>
    </xf>
    <xf numFmtId="0" fontId="3" fillId="7" borderId="2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6" fillId="7" borderId="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3" fillId="7" borderId="0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0" fontId="7" fillId="3" borderId="4" pivotButton="0" quotePrefix="0" xfId="0"/>
    <xf numFmtId="0" fontId="1" fillId="6" borderId="5" pivotButton="0" quotePrefix="0" xfId="0"/>
    <xf numFmtId="164" fontId="2" fillId="6" borderId="5" applyAlignment="1" pivotButton="0" quotePrefix="0" xfId="0">
      <alignment horizontal="center" vertical="bottom" wrapText="1"/>
    </xf>
    <xf numFmtId="0" fontId="3" fillId="6" borderId="6" applyAlignment="1" pivotButton="0" quotePrefix="0" xfId="0">
      <alignment horizontal="center"/>
    </xf>
    <xf numFmtId="0" fontId="2" fillId="6" borderId="6" applyAlignment="1" pivotButton="0" quotePrefix="0" xfId="0">
      <alignment vertical="bottom"/>
    </xf>
    <xf numFmtId="0" fontId="3" fillId="6" borderId="6" pivotButton="0" quotePrefix="0" xfId="0"/>
    <xf numFmtId="0" fontId="1" fillId="8" borderId="7" applyAlignment="1" pivotButton="0" quotePrefix="0" xfId="0">
      <alignment horizontal="center" wrapText="1"/>
    </xf>
    <xf numFmtId="0" fontId="8" fillId="8" borderId="8" applyAlignment="1" pivotButton="0" quotePrefix="0" xfId="0">
      <alignment horizontal="center" wrapText="1"/>
    </xf>
    <xf numFmtId="0" fontId="5" fillId="8" borderId="9" applyAlignment="1" pivotButton="0" quotePrefix="0" xfId="0">
      <alignment horizontal="center" wrapText="1"/>
    </xf>
    <xf numFmtId="0" fontId="5" fillId="8" borderId="10" applyAlignment="1" pivotButton="0" quotePrefix="0" xfId="0">
      <alignment horizontal="center" wrapText="1"/>
    </xf>
    <xf numFmtId="0" fontId="5" fillId="0" borderId="6" applyAlignment="1" pivotButton="0" quotePrefix="0" xfId="0">
      <alignment horizontal="left" wrapText="1"/>
    </xf>
    <xf numFmtId="0" fontId="7" fillId="0" borderId="6" pivotButton="0" quotePrefix="0" xfId="0"/>
    <xf numFmtId="0" fontId="3" fillId="0" borderId="10" pivotButton="0" quotePrefix="0" xfId="0"/>
    <xf numFmtId="0" fontId="9" fillId="0" borderId="11" applyAlignment="1" pivotButton="0" quotePrefix="0" xfId="0">
      <alignment horizontal="center" vertical="bottom" wrapText="1"/>
    </xf>
    <xf numFmtId="49" fontId="3" fillId="0" borderId="3" applyAlignment="1" pivotButton="0" quotePrefix="0" xfId="0">
      <alignment wrapText="1"/>
    </xf>
    <xf numFmtId="164" fontId="6" fillId="0" borderId="8" applyAlignment="1" pivotButton="0" quotePrefix="0" xfId="0">
      <alignment horizontal="center" wrapText="1"/>
    </xf>
    <xf numFmtId="46" fontId="6" fillId="0" borderId="7" applyAlignment="1" pivotButton="0" quotePrefix="0" xfId="0">
      <alignment horizontal="center" wrapText="1"/>
    </xf>
    <xf numFmtId="164" fontId="6" fillId="0" borderId="9" applyAlignment="1" pivotButton="0" quotePrefix="0" xfId="0">
      <alignment horizontal="center" wrapText="1"/>
    </xf>
    <xf numFmtId="0" fontId="6" fillId="0" borderId="8" applyAlignment="1" pivotButton="0" quotePrefix="0" xfId="0">
      <alignment horizontal="center" wrapText="1"/>
    </xf>
    <xf numFmtId="0" fontId="4" fillId="3" borderId="8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164" fontId="6" fillId="0" borderId="2" applyAlignment="1" pivotButton="0" quotePrefix="0" xfId="0">
      <alignment horizontal="center" wrapText="1"/>
    </xf>
    <xf numFmtId="46" fontId="6" fillId="0" borderId="3" applyAlignment="1" pivotButton="0" quotePrefix="0" xfId="0">
      <alignment horizontal="center" wrapText="1"/>
    </xf>
    <xf numFmtId="164" fontId="6" fillId="0" borderId="0" applyAlignment="1" pivotButton="0" quotePrefix="0" xfId="0">
      <alignment horizontal="center" wrapText="1"/>
    </xf>
    <xf numFmtId="0" fontId="6" fillId="0" borderId="2" applyAlignment="1" pivotButton="0" quotePrefix="0" xfId="0">
      <alignment horizontal="center" wrapText="1"/>
    </xf>
    <xf numFmtId="0" fontId="4" fillId="3" borderId="12" applyAlignment="1" pivotButton="0" quotePrefix="0" xfId="0">
      <alignment vertical="bottom" wrapText="1"/>
    </xf>
    <xf numFmtId="0" fontId="3" fillId="0" borderId="0" applyAlignment="1" pivotButton="0" quotePrefix="0" xfId="0">
      <alignment wrapText="1"/>
    </xf>
    <xf numFmtId="0" fontId="3" fillId="0" borderId="2" applyAlignment="1" pivotButton="0" quotePrefix="0" xfId="0">
      <alignment horizontal="center"/>
    </xf>
    <xf numFmtId="0" fontId="3" fillId="0" borderId="12" applyAlignment="1" pivotButton="0" quotePrefix="0" xfId="0">
      <alignment wrapText="1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wrapText="1"/>
    </xf>
    <xf numFmtId="49" fontId="3" fillId="0" borderId="13" applyAlignment="1" pivotButton="0" quotePrefix="0" xfId="0">
      <alignment wrapText="1"/>
    </xf>
    <xf numFmtId="164" fontId="6" fillId="0" borderId="14" applyAlignment="1" pivotButton="0" quotePrefix="0" xfId="0">
      <alignment horizontal="center" wrapText="1"/>
    </xf>
    <xf numFmtId="46" fontId="6" fillId="0" borderId="13" applyAlignment="1" pivotButton="0" quotePrefix="0" xfId="0">
      <alignment horizontal="center" wrapText="1"/>
    </xf>
    <xf numFmtId="164" fontId="6" fillId="0" borderId="4" applyAlignment="1" pivotButton="0" quotePrefix="0" xfId="0">
      <alignment horizontal="center" wrapText="1"/>
    </xf>
    <xf numFmtId="0" fontId="3" fillId="0" borderId="14" applyAlignment="1" pivotButton="0" quotePrefix="0" xfId="0">
      <alignment horizontal="center" wrapText="1"/>
    </xf>
    <xf numFmtId="0" fontId="3" fillId="0" borderId="15" applyAlignment="1" pivotButton="0" quotePrefix="0" xfId="0">
      <alignment wrapText="1"/>
    </xf>
    <xf numFmtId="0" fontId="1" fillId="0" borderId="11" applyAlignment="1" pivotButton="0" quotePrefix="0" xfId="0">
      <alignment horizontal="center"/>
    </xf>
    <xf numFmtId="0" fontId="10" fillId="0" borderId="11" applyAlignment="1" pivotButton="0" quotePrefix="0" xfId="0">
      <alignment horizontal="center" wrapText="1"/>
    </xf>
    <xf numFmtId="0" fontId="5" fillId="0" borderId="0" applyAlignment="1" pivotButton="0" quotePrefix="0" xfId="0">
      <alignment horizontal="left" wrapText="1"/>
    </xf>
    <xf numFmtId="0" fontId="11" fillId="0" borderId="11" applyAlignment="1" pivotButton="0" quotePrefix="0" xfId="0">
      <alignment horizontal="center" vertical="bottom" wrapText="1"/>
    </xf>
    <xf numFmtId="0" fontId="11" fillId="0" borderId="11" applyAlignment="1" pivotButton="0" quotePrefix="0" xfId="0">
      <alignment horizontal="center" vertical="bottom" wrapText="1"/>
    </xf>
    <xf numFmtId="0" fontId="4" fillId="0" borderId="0" applyAlignment="1" pivotButton="0" quotePrefix="0" xfId="0">
      <alignment vertical="top"/>
    </xf>
    <xf numFmtId="166" fontId="11" fillId="0" borderId="11" applyAlignment="1" pivotButton="0" quotePrefix="0" xfId="0">
      <alignment horizontal="center" vertical="bottom" wrapText="1"/>
    </xf>
    <xf numFmtId="166" fontId="11" fillId="0" borderId="11" applyAlignment="1" pivotButton="0" quotePrefix="0" xfId="0">
      <alignment horizontal="center" vertical="bottom"/>
    </xf>
    <xf numFmtId="0" fontId="11" fillId="0" borderId="11" applyAlignment="1" pivotButton="0" quotePrefix="0" xfId="0">
      <alignment horizontal="center" vertical="bottom"/>
    </xf>
    <xf numFmtId="0" fontId="11" fillId="0" borderId="11" applyAlignment="1" pivotButton="0" quotePrefix="0" xfId="0">
      <alignment horizontal="center" vertical="bottom"/>
    </xf>
    <xf numFmtId="0" fontId="1" fillId="2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9" borderId="0" pivotButton="0" quotePrefix="0" xfId="0"/>
    <xf numFmtId="0" fontId="4" fillId="9" borderId="1" applyAlignment="1" pivotButton="0" quotePrefix="0" xfId="0">
      <alignment vertical="bottom"/>
    </xf>
    <xf numFmtId="0" fontId="3" fillId="9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bottom"/>
    </xf>
    <xf numFmtId="0" fontId="3" fillId="0" borderId="0" pivotButton="0" quotePrefix="0" xfId="0"/>
    <xf numFmtId="0" fontId="1" fillId="4" borderId="0" applyAlignment="1" pivotButton="0" quotePrefix="0" xfId="0">
      <alignment horizontal="left"/>
    </xf>
    <xf numFmtId="0" fontId="3" fillId="4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4" fillId="7" borderId="1" applyAlignment="1" pivotButton="0" quotePrefix="0" xfId="0">
      <alignment horizontal="left" vertical="bottom"/>
    </xf>
    <xf numFmtId="0" fontId="0" fillId="0" borderId="1" pivotButton="0" quotePrefix="0" xfId="0"/>
    <xf numFmtId="0" fontId="4" fillId="3" borderId="1" applyAlignment="1" pivotButton="0" quotePrefix="0" xfId="0">
      <alignment horizontal="left" vertical="bottom"/>
    </xf>
    <xf numFmtId="0" fontId="0" fillId="0" borderId="4" pivotButton="0" quotePrefix="0" xfId="0"/>
    <xf numFmtId="0" fontId="0" fillId="0" borderId="6" pivotButton="0" quotePrefix="0" xfId="0"/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4" defaultTableStyle="TableStyleMedium9" defaultPivotStyle="PivotStyleLight16">
    <tableStyle name="Show Calculator-style" pivot="0" count="2">
      <tableStyleElement type="firstRowStripe" dxfId="1"/>
      <tableStyleElement type="secondRowStripe" dxfId="2"/>
    </tableStyle>
    <tableStyle name="Tech Time Calculator-style" pivot="0" count="3">
      <tableStyleElement type="headerRow" dxfId="3"/>
      <tableStyleElement type="firstRowStripe" dxfId="1"/>
      <tableStyleElement type="secondRowStripe" dxfId="2"/>
    </tableStyle>
    <tableStyle name="Tech Time Calculator-style 2" pivot="0" count="3">
      <tableStyleElement type="headerRow" dxfId="4"/>
      <tableStyleElement type="firstRowStripe" dxfId="1"/>
      <tableStyleElement type="secondRowStripe" dxfId="5"/>
    </tableStyle>
    <tableStyle name="Follow Up Submissions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C2:D18" headerRowCount="0">
  <tableColumns count="2">
    <tableColumn id="1" name="Column1"/>
    <tableColumn id="2" name="Column2"/>
  </tableColumns>
  <tableStyleInfo name="Show Calculato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" headerRowCount="0">
  <tableColumns count="1">
    <tableColumn id="1" name="Column1"/>
  </tableColumns>
  <tableStyleInfo name="Tech Time Calculator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1:F18" headerRowCount="1">
  <tableColumns count="5">
    <tableColumn id="1" name="Start Time"/>
    <tableColumn id="2" name="Duration "/>
    <tableColumn id="3" name="End Time"/>
    <tableColumn id="4" name="Dance Name "/>
    <tableColumn id="5" name="Performers"/>
  </tableColumns>
  <tableStyleInfo name="Tech Time Calculator-style 2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2:K14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Follow Up Submission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6"/>
  <sheetViews>
    <sheetView workbookViewId="0">
      <selection activeCell="A1" sqref="A1"/>
    </sheetView>
  </sheetViews>
  <sheetFormatPr baseColWidth="8" defaultRowHeight="15"/>
  <cols>
    <col width="110" customWidth="1" style="103" min="1" max="1"/>
  </cols>
  <sheetData>
    <row r="1">
      <c r="A1" s="104" t="inlineStr">
        <is>
          <t>Purdance Studio — Showcase Show Calculator</t>
        </is>
      </c>
    </row>
    <row r="2">
      <c r="A2" s="105" t="inlineStr"/>
    </row>
    <row r="3">
      <c r="A3" s="105" t="inlineStr">
        <is>
          <t>Built by Dunai Sanchez, Marketing Coordinator, Purdance Studio (2025 annual showcase).</t>
        </is>
      </c>
    </row>
    <row r="4">
      <c r="A4" s="105" t="inlineStr"/>
    </row>
    <row r="5">
      <c r="A5" s="106" t="inlineStr">
        <is>
          <t>What this tool does</t>
        </is>
      </c>
    </row>
    <row r="6">
      <c r="A6" s="105" t="inlineStr">
        <is>
          <t>Plans a full dance showcase end to end: total running time, the performance run order with</t>
        </is>
      </c>
    </row>
    <row r="7">
      <c r="A7" s="105" t="inlineStr">
        <is>
          <t>cumulative start times, tech rehearsal slots, and the day of show schedule.</t>
        </is>
      </c>
    </row>
    <row r="8">
      <c r="A8" s="105" t="inlineStr"/>
    </row>
    <row r="9">
      <c r="A9" s="106" t="inlineStr">
        <is>
          <t>Tabs</t>
        </is>
      </c>
    </row>
    <row r="10">
      <c r="A10" s="105" t="inlineStr">
        <is>
          <t>Show Calculator — enter each act duration as text; formulas convert and total the show time.</t>
        </is>
      </c>
    </row>
    <row r="11">
      <c r="A11" s="105" t="inlineStr">
        <is>
          <t>Performance Time Calculator — pulls durations in with VLOOKUP and builds cumulative start times from doors.</t>
        </is>
      </c>
    </row>
    <row r="12">
      <c r="A12" s="105" t="inlineStr">
        <is>
          <t>Tech Time Calculator — schedules tech rehearsal slots back to back from a single start time.</t>
        </is>
      </c>
    </row>
    <row r="13">
      <c r="A13" s="105" t="inlineStr">
        <is>
          <t>Day Schedule — the day of show timeline at a glance.</t>
        </is>
      </c>
    </row>
    <row r="14">
      <c r="A14" s="105" t="inlineStr">
        <is>
          <t>Follow Up Submissions — tracks which groups have submitted their doc, music, photos, and blurbs.</t>
        </is>
      </c>
    </row>
    <row r="15">
      <c r="A15" s="105" t="inlineStr"/>
    </row>
    <row r="16">
      <c r="A16" s="105" t="inlineStr">
        <is>
          <t>Note: instructor and host names were replaced with generic labels for privacy. Song and dance titles are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9"/>
  <sheetViews>
    <sheetView workbookViewId="0">
      <selection activeCell="A1" sqref="A1"/>
    </sheetView>
  </sheetViews>
  <sheetFormatPr baseColWidth="8" defaultColWidth="12.63" defaultRowHeight="15.75" customHeight="1"/>
  <cols>
    <col width="11.5" customWidth="1" style="103" min="2" max="2"/>
    <col width="51.25" customWidth="1" style="103" min="3" max="3"/>
    <col width="15.75" customWidth="1" style="103" min="5" max="5"/>
  </cols>
  <sheetData>
    <row r="1">
      <c r="A1" s="1" t="inlineStr">
        <is>
          <t xml:space="preserve">Duration </t>
        </is>
      </c>
      <c r="B1" s="2" t="inlineStr">
        <is>
          <t xml:space="preserve">Dance Style </t>
        </is>
      </c>
      <c r="C1" s="3" t="inlineStr">
        <is>
          <t>Performance Groups</t>
        </is>
      </c>
      <c r="D1" s="1" t="inlineStr">
        <is>
          <t xml:space="preserve">Text Input </t>
        </is>
      </c>
    </row>
    <row r="2">
      <c r="A2" s="4">
        <f>TIMEVALUE(D2)</f>
        <v/>
      </c>
      <c r="B2" s="12" t="inlineStr">
        <is>
          <t>Opening</t>
        </is>
      </c>
      <c r="C2" s="12" t="inlineStr">
        <is>
          <t xml:space="preserve">Host 1 &amp; Host 2 Introduction </t>
        </is>
      </c>
      <c r="D2" s="12" t="inlineStr">
        <is>
          <t>00:05:00</t>
        </is>
      </c>
    </row>
    <row r="3">
      <c r="A3" s="4">
        <f>TIMEVALUE(D3)</f>
        <v/>
      </c>
      <c r="B3" s="12" t="inlineStr">
        <is>
          <t xml:space="preserve">Kpop </t>
        </is>
      </c>
      <c r="C3" s="6" t="inlineStr">
        <is>
          <t xml:space="preserve">K-POP All Levels w/ Instructor A (black and silver) </t>
        </is>
      </c>
      <c r="D3" s="12" t="inlineStr">
        <is>
          <t>00:03:10</t>
        </is>
      </c>
      <c r="E3" s="7">
        <f>A1</f>
        <v/>
      </c>
      <c r="F3" s="8">
        <f>A19</f>
        <v/>
      </c>
    </row>
    <row r="4">
      <c r="A4" s="4">
        <f>TIMEVALUE(D4)</f>
        <v/>
      </c>
      <c r="B4" s="12" t="inlineStr">
        <is>
          <t>Contemporary</t>
        </is>
      </c>
      <c r="C4" s="6" t="inlineStr">
        <is>
          <t xml:space="preserve">Contemporary Beginner w/ Instructor B </t>
        </is>
      </c>
      <c r="D4" s="12" t="inlineStr">
        <is>
          <t>00:04:12</t>
        </is>
      </c>
      <c r="E4" s="102" t="inlineStr">
        <is>
          <t>How to use: Write time as plain text in Text input HH:MM:SS</t>
        </is>
      </c>
    </row>
    <row r="5">
      <c r="A5" s="4">
        <f>TIMEVALUE(D5)</f>
        <v/>
      </c>
      <c r="B5" s="12" t="inlineStr">
        <is>
          <t>Tap</t>
        </is>
      </c>
      <c r="C5" s="11" t="inlineStr">
        <is>
          <t xml:space="preserve">Tap w/ Instructor C </t>
        </is>
      </c>
      <c r="D5" s="12" t="inlineStr">
        <is>
          <t>00:02:37</t>
        </is>
      </c>
    </row>
    <row r="6">
      <c r="A6" s="4">
        <f>TIMEVALUE(D6)</f>
        <v/>
      </c>
      <c r="B6" s="12" t="inlineStr">
        <is>
          <t>Choreo</t>
        </is>
      </c>
      <c r="C6" s="11" t="inlineStr">
        <is>
          <t xml:space="preserve">Hip Hop Beginner w/ Host 1 </t>
        </is>
      </c>
      <c r="D6" s="12" t="inlineStr">
        <is>
          <t>00:02:54</t>
        </is>
      </c>
    </row>
    <row r="7">
      <c r="A7" s="4">
        <f>TIMEVALUE(D7)</f>
        <v/>
      </c>
      <c r="B7" s="12" t="inlineStr">
        <is>
          <t>KPop</t>
        </is>
      </c>
      <c r="C7" s="12" t="inlineStr">
        <is>
          <t xml:space="preserve">KDCosmix (Blue brown black) </t>
        </is>
      </c>
      <c r="D7" s="12" t="inlineStr">
        <is>
          <t>00:04:05</t>
        </is>
      </c>
    </row>
    <row r="8">
      <c r="A8" s="4">
        <f>TIMEVALUE(D8)</f>
        <v/>
      </c>
      <c r="B8" s="12" t="inlineStr">
        <is>
          <t>Heels</t>
        </is>
      </c>
      <c r="C8" s="6" t="inlineStr">
        <is>
          <t xml:space="preserve">Heels w/ Instructor D </t>
        </is>
      </c>
      <c r="D8" s="12" t="inlineStr">
        <is>
          <t>00:04:18</t>
        </is>
      </c>
    </row>
    <row r="9">
      <c r="A9" s="4">
        <f>TIMEVALUE(D9)</f>
        <v/>
      </c>
      <c r="B9" s="12" t="inlineStr">
        <is>
          <t>Jazz</t>
        </is>
      </c>
      <c r="C9" s="6" t="inlineStr">
        <is>
          <t xml:space="preserve">Commercial Jazz w/ Instructor C (chairs) (allblack) </t>
        </is>
      </c>
      <c r="D9" s="12" t="inlineStr">
        <is>
          <t>00:03:07</t>
        </is>
      </c>
    </row>
    <row r="10">
      <c r="A10" s="4">
        <f>TIMEVALUE(D10)</f>
        <v/>
      </c>
      <c r="B10" s="12" t="inlineStr">
        <is>
          <t>Talking</t>
        </is>
      </c>
      <c r="C10" s="12" t="inlineStr">
        <is>
          <t>Host 1 &amp; Host 2 Introduce Intermission (Merch, Classes, Vendors)</t>
        </is>
      </c>
      <c r="D10" s="12" t="inlineStr">
        <is>
          <t>00:3:00</t>
        </is>
      </c>
    </row>
    <row r="11">
      <c r="A11" s="4">
        <f>TIMEVALUE(D11)</f>
        <v/>
      </c>
      <c r="B11" s="12" t="inlineStr">
        <is>
          <t>Intermission</t>
        </is>
      </c>
      <c r="C11" s="12" t="inlineStr">
        <is>
          <t xml:space="preserve">Intermission </t>
        </is>
      </c>
      <c r="D11" s="12" t="inlineStr">
        <is>
          <t>00:15:00</t>
        </is>
      </c>
    </row>
    <row r="12">
      <c r="A12" s="4">
        <f>TIMEVALUE(D12)</f>
        <v/>
      </c>
      <c r="B12" s="12" t="inlineStr">
        <is>
          <t>KPop</t>
        </is>
      </c>
      <c r="C12" s="12" t="inlineStr">
        <is>
          <t>Synkronize</t>
        </is>
      </c>
      <c r="D12" s="12" t="inlineStr">
        <is>
          <t>00:05:24</t>
        </is>
      </c>
    </row>
    <row r="13">
      <c r="A13" s="4">
        <f>TIMEVALUE(D13)</f>
        <v/>
      </c>
      <c r="B13" s="12" t="inlineStr">
        <is>
          <t xml:space="preserve">Choreo </t>
        </is>
      </c>
      <c r="C13" s="6" t="inlineStr">
        <is>
          <t xml:space="preserve">Hip Hop Int/Adv w/ Host 2 </t>
        </is>
      </c>
      <c r="D13" s="12" t="inlineStr">
        <is>
          <t>00:02:57</t>
        </is>
      </c>
    </row>
    <row r="14">
      <c r="A14" s="4">
        <f>TIMEVALUE(D14)</f>
        <v/>
      </c>
      <c r="B14" s="12" t="inlineStr">
        <is>
          <t>Swing</t>
        </is>
      </c>
      <c r="C14" s="12" t="inlineStr">
        <is>
          <t>Lindy Hip Hop Swing</t>
        </is>
      </c>
      <c r="D14" s="12" t="inlineStr">
        <is>
          <t>00:03:34</t>
        </is>
      </c>
    </row>
    <row r="15">
      <c r="A15" s="4">
        <f>TIMEVALUE(D15)</f>
        <v/>
      </c>
      <c r="B15" s="12" t="inlineStr">
        <is>
          <t>KPop</t>
        </is>
      </c>
      <c r="C15" s="12" t="inlineStr">
        <is>
          <t>All Starz</t>
        </is>
      </c>
      <c r="D15" s="12" t="inlineStr">
        <is>
          <t>00:03:29</t>
        </is>
      </c>
    </row>
    <row r="16">
      <c r="A16" s="4">
        <f>TIMEVALUE(D16)</f>
        <v/>
      </c>
      <c r="B16" s="12" t="inlineStr">
        <is>
          <t>Choreo</t>
        </is>
      </c>
      <c r="C16" s="12" t="inlineStr">
        <is>
          <t>Full Potential (Earth Tones)</t>
        </is>
      </c>
      <c r="D16" s="12" t="inlineStr">
        <is>
          <t>00:04:50</t>
        </is>
      </c>
    </row>
    <row r="17">
      <c r="A17" s="4">
        <f>TIMEVALUE(D17)</f>
        <v/>
      </c>
      <c r="B17" s="12" t="inlineStr">
        <is>
          <t>Jazz</t>
        </is>
      </c>
      <c r="C17" s="6" t="inlineStr">
        <is>
          <t xml:space="preserve">Broadway Jazz w/ Instructor E (intricate costume) </t>
        </is>
      </c>
      <c r="D17" s="12" t="inlineStr">
        <is>
          <t>00:03:39</t>
        </is>
      </c>
    </row>
    <row r="18">
      <c r="A18" s="4">
        <f>TIMEVALUE(D18)</f>
        <v/>
      </c>
      <c r="B18" s="12" t="inlineStr">
        <is>
          <t>Closing</t>
        </is>
      </c>
      <c r="C18" s="12" t="inlineStr">
        <is>
          <t>Host 1 &amp; Host 2 Closing</t>
        </is>
      </c>
      <c r="D18" s="12" t="inlineStr">
        <is>
          <t>00:10:00</t>
        </is>
      </c>
    </row>
    <row r="19">
      <c r="A19" s="13">
        <f>SUM(A2:A18)</f>
        <v/>
      </c>
      <c r="B19" s="15" t="n"/>
      <c r="C19" s="15" t="inlineStr">
        <is>
          <t>Total Show Time</t>
        </is>
      </c>
      <c r="D19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24"/>
  <sheetViews>
    <sheetView workbookViewId="0">
      <selection activeCell="A1" sqref="A1"/>
    </sheetView>
  </sheetViews>
  <sheetFormatPr baseColWidth="8" defaultColWidth="12.63" defaultRowHeight="15.75" customHeight="1"/>
  <cols>
    <col width="14.63" customWidth="1" style="103" min="1" max="1"/>
    <col width="17.75" customWidth="1" style="103" min="4" max="4"/>
    <col width="12.38" customWidth="1" style="103" min="6" max="6"/>
  </cols>
  <sheetData>
    <row r="1">
      <c r="A1" s="16" t="inlineStr">
        <is>
          <t>Time</t>
        </is>
      </c>
      <c r="B1" s="17" t="inlineStr">
        <is>
          <t>Duration</t>
        </is>
      </c>
      <c r="C1" s="16" t="inlineStr">
        <is>
          <t>Order</t>
        </is>
      </c>
      <c r="D1" s="16" t="inlineStr">
        <is>
          <t>Dance Name</t>
        </is>
      </c>
      <c r="E1" s="16" t="inlineStr">
        <is>
          <t>Performer</t>
        </is>
      </c>
      <c r="G1" s="18" t="n"/>
    </row>
    <row r="2">
      <c r="A2" s="31" t="n">
        <v>0.7083333333333334</v>
      </c>
      <c r="B2" s="20">
        <f>VLOOKUP('Show Calculator'!A2, 'Show Calculator'!A1:C17, 1, FALSE)
</f>
        <v/>
      </c>
      <c r="C2" s="21" t="n">
        <v>1</v>
      </c>
      <c r="D2" s="22" t="inlineStr">
        <is>
          <t>Host</t>
        </is>
      </c>
      <c r="E2" s="23" t="inlineStr">
        <is>
          <t xml:space="preserve">Host 1 &amp; Host 2 Introduction </t>
        </is>
      </c>
    </row>
    <row r="3">
      <c r="A3" s="24">
        <f>sum(A2+B2)</f>
        <v/>
      </c>
      <c r="B3" s="25">
        <f>VLOOKUP('Show Calculator'!A3, 'Show Calculator'!A2:C18, 1, FALSE)
</f>
        <v/>
      </c>
      <c r="C3" s="26" t="n">
        <v>2</v>
      </c>
      <c r="D3" s="26" t="inlineStr">
        <is>
          <t>Whiplash</t>
        </is>
      </c>
      <c r="E3" s="107" t="inlineStr">
        <is>
          <t xml:space="preserve">K-POP All Levels w/ Instructor A </t>
        </is>
      </c>
      <c r="F3" s="108" t="n"/>
      <c r="H3" s="29" t="n"/>
      <c r="I3" s="30" t="n"/>
      <c r="J3" s="30" t="n"/>
      <c r="K3" s="30" t="n"/>
    </row>
    <row r="4">
      <c r="A4" s="31">
        <f>A3+B3</f>
        <v/>
      </c>
      <c r="B4" s="20">
        <f>VLOOKUP('Show Calculator'!A4, 'Show Calculator'!A3:C19, 1, FALSE)
</f>
        <v/>
      </c>
      <c r="C4" s="22" t="n">
        <v>3</v>
      </c>
      <c r="D4" s="22" t="inlineStr">
        <is>
          <t>Arabesque1</t>
        </is>
      </c>
      <c r="E4" s="109" t="inlineStr">
        <is>
          <t xml:space="preserve">Contemporary Beginner Instructor B </t>
        </is>
      </c>
      <c r="F4" s="108" t="n"/>
      <c r="I4" s="34" t="n"/>
      <c r="J4" s="34" t="n"/>
      <c r="K4" s="34" t="n"/>
    </row>
    <row r="5">
      <c r="A5" s="35">
        <f>A6+B6</f>
        <v/>
      </c>
      <c r="B5" s="25">
        <f>VLOOKUP('Show Calculator'!A5, 'Show Calculator'!A5:C21, 1, FALSE)
</f>
        <v/>
      </c>
      <c r="C5" s="26" t="n">
        <v>4</v>
      </c>
      <c r="D5" s="26" t="inlineStr">
        <is>
          <t>ComeTogether</t>
        </is>
      </c>
      <c r="E5" s="107" t="inlineStr">
        <is>
          <t xml:space="preserve">Tap Instructor C </t>
        </is>
      </c>
      <c r="F5" s="108" t="n"/>
      <c r="H5" s="30" t="n"/>
      <c r="I5" s="30" t="n"/>
      <c r="J5" s="30" t="n"/>
      <c r="K5" s="34" t="n"/>
    </row>
    <row r="6">
      <c r="A6" s="31">
        <f>A4+B4</f>
        <v/>
      </c>
      <c r="B6" s="20">
        <f>VLOOKUP('Show Calculator'!A6, 'Show Calculator'!A4:C20, 1, FALSE)
</f>
        <v/>
      </c>
      <c r="C6" s="22" t="n">
        <v>5</v>
      </c>
      <c r="D6" s="22" t="inlineStr">
        <is>
          <t>Y2Krazy</t>
        </is>
      </c>
      <c r="E6" s="109" t="inlineStr">
        <is>
          <t xml:space="preserve">Hip Hop Beginner Host 1 </t>
        </is>
      </c>
      <c r="F6" s="108" t="n"/>
      <c r="H6" s="30" t="n"/>
      <c r="I6" s="34" t="n"/>
      <c r="J6" s="34" t="n"/>
      <c r="K6" s="34" t="n"/>
    </row>
    <row r="7">
      <c r="A7" s="35">
        <f>A5+B5</f>
        <v/>
      </c>
      <c r="B7" s="25">
        <f>VLOOKUP('Show Calculator'!A7, 'Show Calculator'!A5:C22, 1, FALSE)
</f>
        <v/>
      </c>
      <c r="C7" s="26" t="n">
        <v>6</v>
      </c>
      <c r="D7" s="26" t="inlineStr">
        <is>
          <t>TouchXRollerCoaster</t>
        </is>
      </c>
      <c r="E7" s="36" t="inlineStr">
        <is>
          <t>KDCosmix*</t>
        </is>
      </c>
      <c r="H7" s="30" t="n"/>
      <c r="I7" s="30" t="n"/>
      <c r="J7" s="30" t="n"/>
      <c r="K7" s="30" t="n"/>
    </row>
    <row r="8">
      <c r="A8" s="31">
        <f>A7+B7</f>
        <v/>
      </c>
      <c r="B8" s="20">
        <f>VLOOKUP('Show Calculator'!A8, 'Show Calculator'!A7:C23, 1, FALSE)
</f>
        <v/>
      </c>
      <c r="C8" s="22" t="n">
        <v>7</v>
      </c>
      <c r="D8" s="22" t="inlineStr">
        <is>
          <t>RiriMix</t>
        </is>
      </c>
      <c r="E8" s="109" t="inlineStr">
        <is>
          <t xml:space="preserve">Heels Instructor D </t>
        </is>
      </c>
      <c r="F8" s="108" t="n"/>
      <c r="H8" s="30" t="n"/>
      <c r="I8" s="30" t="n"/>
      <c r="J8" s="30" t="n"/>
      <c r="K8" s="30" t="n"/>
    </row>
    <row r="9">
      <c r="A9" s="35">
        <f>A8+B8</f>
        <v/>
      </c>
      <c r="B9" s="25">
        <f>VLOOKUP('Show Calculator'!A9, 'Show Calculator'!A8:C24, 1, FALSE)
</f>
        <v/>
      </c>
      <c r="C9" s="26" t="n">
        <v>8</v>
      </c>
      <c r="D9" s="26" t="inlineStr">
        <is>
          <t>Disease</t>
        </is>
      </c>
      <c r="E9" s="107" t="inlineStr">
        <is>
          <t xml:space="preserve">Commercial Jazz Instructor C </t>
        </is>
      </c>
      <c r="F9" s="108" t="n"/>
      <c r="H9" s="30" t="n"/>
      <c r="I9" s="30" t="n"/>
      <c r="J9" s="30" t="n"/>
      <c r="K9" s="30" t="n"/>
    </row>
    <row r="10">
      <c r="A10" s="31">
        <f>A9+B9</f>
        <v/>
      </c>
      <c r="B10" s="20">
        <f>VLOOKUP('Show Calculator'!A10, 'Show Calculator'!A9:C25, 1, FALSE)
</f>
        <v/>
      </c>
      <c r="C10" s="22" t="n">
        <v>9</v>
      </c>
      <c r="D10" s="22" t="inlineStr">
        <is>
          <t xml:space="preserve">Announcements </t>
        </is>
      </c>
      <c r="E10" s="23" t="inlineStr">
        <is>
          <t xml:space="preserve">Host 1 &amp; Host 2 Intermission </t>
        </is>
      </c>
      <c r="H10" s="29" t="n"/>
      <c r="I10" s="29" t="n"/>
      <c r="J10" s="29" t="n"/>
      <c r="K10" s="29" t="n"/>
    </row>
    <row r="11">
      <c r="A11" s="35">
        <f>A10+B10</f>
        <v/>
      </c>
      <c r="B11" s="25">
        <f>VLOOKUP('Show Calculator'!A11, 'Show Calculator'!A10:C26, 1, FALSE)
</f>
        <v/>
      </c>
      <c r="C11" s="26" t="inlineStr">
        <is>
          <t>-</t>
        </is>
      </c>
      <c r="D11" s="37" t="inlineStr">
        <is>
          <t>-</t>
        </is>
      </c>
      <c r="E11" s="36" t="inlineStr">
        <is>
          <t xml:space="preserve">Intermission </t>
        </is>
      </c>
      <c r="H11" s="30" t="n"/>
      <c r="I11" s="34" t="n"/>
      <c r="J11" s="34" t="n"/>
      <c r="K11" s="34" t="n"/>
    </row>
    <row r="12" ht="27" customHeight="1" s="103">
      <c r="A12" s="31">
        <f>A11+B11</f>
        <v/>
      </c>
      <c r="B12" s="20">
        <f>VLOOKUP('Show Calculator'!A12, 'Show Calculator'!A11:C27, 1, FALSE)
</f>
        <v/>
      </c>
      <c r="C12" s="22" t="n">
        <v>10</v>
      </c>
      <c r="D12" s="38" t="inlineStr">
        <is>
          <t>IZN&amp;Stealer</t>
        </is>
      </c>
      <c r="E12" s="23" t="inlineStr">
        <is>
          <t>Synkronize*</t>
        </is>
      </c>
      <c r="H12" s="30" t="n"/>
      <c r="I12" s="34" t="n"/>
      <c r="J12" s="34" t="n"/>
      <c r="K12" s="34" t="n"/>
    </row>
    <row r="13">
      <c r="A13" s="35">
        <f>A12+B12</f>
        <v/>
      </c>
      <c r="B13" s="25">
        <f>VLOOKUP('Show Calculator'!A13, 'Show Calculator'!A12:C28, 1, FALSE)
</f>
        <v/>
      </c>
      <c r="C13" s="26" t="n">
        <v>11</v>
      </c>
      <c r="D13" s="37" t="inlineStr">
        <is>
          <t>Backstreets</t>
        </is>
      </c>
      <c r="E13" s="107" t="inlineStr">
        <is>
          <t xml:space="preserve">Hip Hop ADV Host 2 </t>
        </is>
      </c>
      <c r="F13" s="108" t="n"/>
      <c r="H13" s="30" t="n"/>
      <c r="I13" s="34" t="n"/>
      <c r="J13" s="34" t="n"/>
      <c r="K13" s="34" t="n"/>
    </row>
    <row r="14">
      <c r="A14" s="31">
        <f>A13+B13</f>
        <v/>
      </c>
      <c r="B14" s="20">
        <f>VLOOKUP('Show Calculator'!A14, 'Show Calculator'!A13:C29, 1, FALSE)
</f>
        <v/>
      </c>
      <c r="C14" s="22" t="n">
        <v>12</v>
      </c>
      <c r="D14" s="38" t="inlineStr">
        <is>
          <t>LindyHop</t>
        </is>
      </c>
      <c r="E14" s="23" t="inlineStr">
        <is>
          <t>Lindy Hip Hop Swing*</t>
        </is>
      </c>
      <c r="H14" s="30" t="n"/>
      <c r="I14" s="34" t="n"/>
      <c r="J14" s="34" t="n"/>
      <c r="K14" s="34" t="n"/>
    </row>
    <row r="15">
      <c r="A15" s="35">
        <f>A14+B14</f>
        <v/>
      </c>
      <c r="B15" s="25">
        <f>VLOOKUP('Show Calculator'!A15, 'Show Calculator'!A14:C30, 1, FALSE)
</f>
        <v/>
      </c>
      <c r="C15" s="39" t="n">
        <v>13</v>
      </c>
      <c r="D15" s="37" t="inlineStr">
        <is>
          <t>Jungle</t>
        </is>
      </c>
      <c r="E15" s="36" t="inlineStr">
        <is>
          <t>All Starz*</t>
        </is>
      </c>
      <c r="H15" s="30" t="n"/>
      <c r="I15" s="34" t="n"/>
      <c r="J15" s="34" t="n"/>
      <c r="K15" s="34" t="n"/>
    </row>
    <row r="16">
      <c r="A16" s="31">
        <f>A15+B15</f>
        <v/>
      </c>
      <c r="B16" s="20">
        <f>VLOOKUP('Show Calculator'!A16, 'Show Calculator'!A15:C31, 1, FALSE)
</f>
        <v/>
      </c>
      <c r="C16" s="40" t="n">
        <v>14</v>
      </c>
      <c r="D16" s="38" t="inlineStr">
        <is>
          <t xml:space="preserve">CountMeOut </t>
        </is>
      </c>
      <c r="E16" s="23" t="inlineStr">
        <is>
          <t>Full Potential*</t>
        </is>
      </c>
    </row>
    <row r="17">
      <c r="A17" s="35">
        <f>A16+B16</f>
        <v/>
      </c>
      <c r="B17" s="25">
        <f>VLOOKUP('Show Calculator'!A17, 'Show Calculator'!A16:C32, 1, FALSE)
</f>
        <v/>
      </c>
      <c r="C17" s="41" t="n">
        <v>15</v>
      </c>
      <c r="D17" s="37" t="inlineStr">
        <is>
          <t>LSH</t>
        </is>
      </c>
      <c r="E17" s="107" t="inlineStr">
        <is>
          <t>Broadway Jazz Instructor E</t>
        </is>
      </c>
      <c r="F17" s="108" t="n"/>
    </row>
    <row r="18">
      <c r="A18" s="31">
        <f>A17+B17</f>
        <v/>
      </c>
      <c r="B18" s="20">
        <f>VLOOKUP('Show Calculator'!A18, 'Show Calculator'!A17:C33, 1, FALSE)
</f>
        <v/>
      </c>
      <c r="C18" s="42" t="n">
        <v>16</v>
      </c>
      <c r="D18" s="38" t="inlineStr">
        <is>
          <t>Closing</t>
        </is>
      </c>
      <c r="E18" s="43" t="inlineStr">
        <is>
          <t xml:space="preserve">Host 1 &amp; Host 2 </t>
        </is>
      </c>
      <c r="F18" s="110" t="n"/>
    </row>
    <row r="19">
      <c r="A19" s="45" t="inlineStr">
        <is>
          <t>End of Showtime</t>
        </is>
      </c>
      <c r="B19" s="46">
        <f>A18+B18</f>
        <v/>
      </c>
      <c r="C19" s="47" t="n"/>
      <c r="D19" s="47" t="n"/>
      <c r="E19" s="48" t="inlineStr">
        <is>
          <t>*Guest Group</t>
        </is>
      </c>
      <c r="F19" s="49" t="n"/>
    </row>
    <row r="20"/>
    <row r="21">
      <c r="H21" s="30" t="n"/>
      <c r="I21" s="34" t="n"/>
      <c r="J21" s="34" t="n"/>
      <c r="K21" s="34" t="n"/>
    </row>
    <row r="22">
      <c r="H22" s="30" t="n"/>
      <c r="I22" s="30" t="n"/>
      <c r="J22" s="30" t="n"/>
      <c r="K22" s="34" t="n"/>
    </row>
    <row r="23">
      <c r="H23" s="30" t="n"/>
      <c r="I23" s="30" t="n"/>
      <c r="J23" s="30" t="n"/>
      <c r="K23" s="34" t="n"/>
    </row>
    <row r="24">
      <c r="H24" s="30" t="n"/>
      <c r="I24" s="30" t="n"/>
      <c r="J24" s="30" t="n"/>
      <c r="K24" s="30" t="n"/>
    </row>
  </sheetData>
  <mergeCells count="19">
    <mergeCell ref="E12:F12"/>
    <mergeCell ref="E5:F5"/>
    <mergeCell ref="E14:F14"/>
    <mergeCell ref="G1:J1"/>
    <mergeCell ref="E17:F17"/>
    <mergeCell ref="E8:F8"/>
    <mergeCell ref="E4:F4"/>
    <mergeCell ref="E10:F10"/>
    <mergeCell ref="E1:F1"/>
    <mergeCell ref="E13:F13"/>
    <mergeCell ref="E9:F9"/>
    <mergeCell ref="E6:F6"/>
    <mergeCell ref="E15:F15"/>
    <mergeCell ref="E2:F2"/>
    <mergeCell ref="E11:F11"/>
    <mergeCell ref="E16:F16"/>
    <mergeCell ref="E7:F7"/>
    <mergeCell ref="E18:F18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T18"/>
  <sheetViews>
    <sheetView workbookViewId="0">
      <selection activeCell="A1" sqref="A1"/>
    </sheetView>
  </sheetViews>
  <sheetFormatPr baseColWidth="8" defaultColWidth="12.63" defaultRowHeight="15.75" customHeight="1"/>
  <cols>
    <col width="12.63" customWidth="1" style="103" min="1" max="1"/>
    <col width="16.75" customWidth="1" style="103" min="5" max="5"/>
    <col width="27.75" customWidth="1" style="103" min="6" max="6"/>
    <col width="21.38" customWidth="1" style="103" min="7" max="7"/>
    <col width="13.5" customWidth="1" style="103" min="8" max="8"/>
  </cols>
  <sheetData>
    <row r="1">
      <c r="A1" s="50" t="inlineStr">
        <is>
          <t>Time Input</t>
        </is>
      </c>
      <c r="B1" s="51" t="inlineStr">
        <is>
          <t>Start Time</t>
        </is>
      </c>
      <c r="C1" s="52" t="inlineStr">
        <is>
          <t xml:space="preserve">Duration </t>
        </is>
      </c>
      <c r="D1" s="52" t="inlineStr">
        <is>
          <t>End Time</t>
        </is>
      </c>
      <c r="E1" s="52" t="inlineStr">
        <is>
          <t xml:space="preserve">Dance Name </t>
        </is>
      </c>
      <c r="F1" s="53" t="inlineStr">
        <is>
          <t>Performers</t>
        </is>
      </c>
      <c r="G1" s="102" t="inlineStr">
        <is>
          <t>How to use: Adjust Time on Time input dropdown menu</t>
        </is>
      </c>
      <c r="L1" s="54" t="n"/>
      <c r="M1" s="111" t="n"/>
      <c r="N1" s="111" t="n"/>
      <c r="O1" s="111" t="n"/>
      <c r="P1" s="56" t="n"/>
      <c r="R1" s="57" t="inlineStr">
        <is>
          <t>Time:</t>
        </is>
      </c>
      <c r="S1" s="57" t="inlineStr">
        <is>
          <t>Activities:</t>
        </is>
      </c>
      <c r="T1" s="57" t="inlineStr">
        <is>
          <t>Names:</t>
        </is>
      </c>
    </row>
    <row r="2">
      <c r="A2" s="58" t="inlineStr">
        <is>
          <t>0:05:00</t>
        </is>
      </c>
      <c r="B2" s="59" t="n">
        <v>0.5625</v>
      </c>
      <c r="C2" s="60">
        <f>TIMEVALUE(A2)</f>
        <v/>
      </c>
      <c r="D2" s="61">
        <f>SUM(B2+C2)</f>
        <v/>
      </c>
      <c r="E2" s="62" t="inlineStr">
        <is>
          <t>Host</t>
        </is>
      </c>
      <c r="F2" s="63" t="inlineStr">
        <is>
          <t>Host 1 &amp; Host 2</t>
        </is>
      </c>
      <c r="G2" s="70" t="inlineStr">
        <is>
          <t>Adjust Start Time in B2</t>
        </is>
      </c>
    </row>
    <row r="3">
      <c r="A3" s="58" t="inlineStr">
        <is>
          <t>0:07:00</t>
        </is>
      </c>
      <c r="B3" s="65">
        <f>D2</f>
        <v/>
      </c>
      <c r="C3" s="66">
        <f>TIMEVALUE(A3)</f>
        <v/>
      </c>
      <c r="D3" s="67">
        <f>SUM(B3+C3)</f>
        <v/>
      </c>
      <c r="E3" s="68" t="inlineStr">
        <is>
          <t>Whiplash</t>
        </is>
      </c>
      <c r="F3" s="69" t="inlineStr">
        <is>
          <t>K-POP All Levels - Instructor A</t>
        </is>
      </c>
      <c r="G3" s="70" t="n"/>
    </row>
    <row r="4">
      <c r="A4" s="58" t="inlineStr">
        <is>
          <t>0:07:00</t>
        </is>
      </c>
      <c r="B4" s="65">
        <f>D3</f>
        <v/>
      </c>
      <c r="C4" s="66">
        <f>TIMEVALUE(A4)</f>
        <v/>
      </c>
      <c r="D4" s="67">
        <f>SUM(B4+C4)</f>
        <v/>
      </c>
      <c r="E4" s="68" t="inlineStr">
        <is>
          <t>Arabesque1</t>
        </is>
      </c>
      <c r="F4" s="69" t="inlineStr">
        <is>
          <t xml:space="preserve">Contemporary Beginner - Instructor B </t>
        </is>
      </c>
      <c r="H4" s="102" t="n"/>
    </row>
    <row r="5">
      <c r="A5" s="58" t="inlineStr">
        <is>
          <t>0:07:00</t>
        </is>
      </c>
      <c r="B5" s="65">
        <f>D4</f>
        <v/>
      </c>
      <c r="C5" s="66">
        <f>TIMEVALUE(A5)</f>
        <v/>
      </c>
      <c r="D5" s="67">
        <f>SUM(B5+C5)</f>
        <v/>
      </c>
      <c r="E5" s="71" t="inlineStr">
        <is>
          <t>ComeTogether</t>
        </is>
      </c>
      <c r="F5" s="69" t="inlineStr">
        <is>
          <t xml:space="preserve">Tap - Instructor C </t>
        </is>
      </c>
      <c r="G5" s="70" t="n"/>
      <c r="H5" s="102" t="n"/>
    </row>
    <row r="6">
      <c r="A6" s="58" t="inlineStr">
        <is>
          <t>0:07:00</t>
        </is>
      </c>
      <c r="B6" s="65">
        <f>D5</f>
        <v/>
      </c>
      <c r="C6" s="66">
        <f>TIMEVALUE(A6)</f>
        <v/>
      </c>
      <c r="D6" s="67">
        <f>SUM(B6+C6)</f>
        <v/>
      </c>
      <c r="E6" s="68" t="inlineStr">
        <is>
          <t>Y2Krazy</t>
        </is>
      </c>
      <c r="F6" s="69" t="inlineStr">
        <is>
          <t xml:space="preserve">Hip Hop Beginner - Host 1 </t>
        </is>
      </c>
      <c r="G6" s="70" t="n"/>
    </row>
    <row r="7">
      <c r="A7" s="58" t="inlineStr">
        <is>
          <t>0:07:00</t>
        </is>
      </c>
      <c r="B7" s="65">
        <f>D6</f>
        <v/>
      </c>
      <c r="C7" s="66">
        <f>TIMEVALUE(A7)</f>
        <v/>
      </c>
      <c r="D7" s="67">
        <f>SUM(B7+C7)</f>
        <v/>
      </c>
      <c r="E7" s="68" t="inlineStr">
        <is>
          <t>TouchXRollercoaster</t>
        </is>
      </c>
      <c r="F7" s="72" t="inlineStr">
        <is>
          <t>KDCosmix</t>
        </is>
      </c>
      <c r="G7" s="70" t="n"/>
    </row>
    <row r="8">
      <c r="A8" s="58" t="inlineStr">
        <is>
          <t>0:07:00</t>
        </is>
      </c>
      <c r="B8" s="65">
        <f>D7</f>
        <v/>
      </c>
      <c r="C8" s="66">
        <f>TIMEVALUE(A8)</f>
        <v/>
      </c>
      <c r="D8" s="67">
        <f>SUM(B8+C8)</f>
        <v/>
      </c>
      <c r="E8" s="68" t="inlineStr">
        <is>
          <t>Riri</t>
        </is>
      </c>
      <c r="F8" s="69" t="inlineStr">
        <is>
          <t xml:space="preserve">Heels - Instructor D </t>
        </is>
      </c>
      <c r="G8" s="70" t="n"/>
    </row>
    <row r="9">
      <c r="A9" s="58" t="inlineStr">
        <is>
          <t>0:07:00</t>
        </is>
      </c>
      <c r="B9" s="65">
        <f>D8</f>
        <v/>
      </c>
      <c r="C9" s="66">
        <f>TIMEVALUE(A9)</f>
        <v/>
      </c>
      <c r="D9" s="67">
        <f>SUM(B9+C9)</f>
        <v/>
      </c>
      <c r="E9" s="68" t="inlineStr">
        <is>
          <t>Disease</t>
        </is>
      </c>
      <c r="F9" s="69" t="inlineStr">
        <is>
          <t>Commercial Jazz - Instructor C</t>
        </is>
      </c>
      <c r="G9" s="70" t="n"/>
    </row>
    <row r="10">
      <c r="A10" s="58" t="inlineStr">
        <is>
          <t>0:00:00</t>
        </is>
      </c>
      <c r="B10" s="65">
        <f>D9</f>
        <v/>
      </c>
      <c r="C10" s="66">
        <f>TIMEVALUE(A10)</f>
        <v/>
      </c>
      <c r="D10" s="67">
        <f>SUM(B10+C10)</f>
        <v/>
      </c>
      <c r="E10" s="68" t="inlineStr">
        <is>
          <t>-</t>
        </is>
      </c>
      <c r="F10" s="72" t="inlineStr">
        <is>
          <t>Host 1 &amp; Host 2 (Merch, Classes, Vendors)</t>
        </is>
      </c>
      <c r="G10" s="70" t="n"/>
    </row>
    <row r="11">
      <c r="A11" s="58" t="inlineStr">
        <is>
          <t>0:00:00</t>
        </is>
      </c>
      <c r="B11" s="65">
        <f>D10</f>
        <v/>
      </c>
      <c r="C11" s="66">
        <f>TIMEVALUE(A11)</f>
        <v/>
      </c>
      <c r="D11" s="67">
        <f>SUM(B11+C11)</f>
        <v/>
      </c>
      <c r="E11" s="73" t="inlineStr">
        <is>
          <t>-</t>
        </is>
      </c>
      <c r="F11" s="72" t="inlineStr">
        <is>
          <t xml:space="preserve">Intermission </t>
        </is>
      </c>
      <c r="G11" s="70" t="n"/>
    </row>
    <row r="12" ht="18.75" customHeight="1" s="103">
      <c r="A12" s="58" t="inlineStr">
        <is>
          <t>0:07:00</t>
        </is>
      </c>
      <c r="B12" s="65">
        <f>D11</f>
        <v/>
      </c>
      <c r="C12" s="66">
        <f>TIMEVALUE(A12)</f>
        <v/>
      </c>
      <c r="D12" s="67">
        <f>SUM(B12+C12)</f>
        <v/>
      </c>
      <c r="E12" s="73" t="inlineStr">
        <is>
          <t>IZNA&amp;Stealer</t>
        </is>
      </c>
      <c r="F12" s="74" t="inlineStr">
        <is>
          <t>Synkronize</t>
        </is>
      </c>
      <c r="G12" s="70" t="n"/>
      <c r="K12" s="30" t="n"/>
      <c r="L12" s="30" t="n"/>
    </row>
    <row r="13">
      <c r="A13" s="58" t="inlineStr">
        <is>
          <t>0:07:00</t>
        </is>
      </c>
      <c r="B13" s="65">
        <f>D12</f>
        <v/>
      </c>
      <c r="C13" s="66">
        <f>TIMEVALUE(A13)</f>
        <v/>
      </c>
      <c r="D13" s="67">
        <f>SUM(B13+C13)</f>
        <v/>
      </c>
      <c r="E13" s="73" t="inlineStr">
        <is>
          <t>Backstreets</t>
        </is>
      </c>
      <c r="F13" s="69" t="inlineStr">
        <is>
          <t xml:space="preserve">Hip Hop ADV - Host 2 </t>
        </is>
      </c>
      <c r="G13" s="70" t="n"/>
      <c r="H13" s="70" t="n"/>
    </row>
    <row r="14">
      <c r="A14" s="58" t="inlineStr">
        <is>
          <t>0:07:00</t>
        </is>
      </c>
      <c r="B14" s="65">
        <f>D13</f>
        <v/>
      </c>
      <c r="C14" s="66">
        <f>TIMEVALUE(A14)</f>
        <v/>
      </c>
      <c r="D14" s="67">
        <f>SUM(B14+C14)</f>
        <v/>
      </c>
      <c r="E14" s="73" t="inlineStr">
        <is>
          <t>Lindy Hop</t>
        </is>
      </c>
      <c r="F14" s="72" t="inlineStr">
        <is>
          <t>Lindy Hip Hop Swing</t>
        </is>
      </c>
      <c r="G14" s="70" t="n"/>
      <c r="H14" s="70" t="n"/>
    </row>
    <row r="15">
      <c r="A15" s="58" t="inlineStr">
        <is>
          <t>0:07:00</t>
        </is>
      </c>
      <c r="B15" s="65">
        <f>D14</f>
        <v/>
      </c>
      <c r="C15" s="66">
        <f>TIMEVALUE(A15)</f>
        <v/>
      </c>
      <c r="D15" s="67">
        <f>SUM(B15+C15)</f>
        <v/>
      </c>
      <c r="E15" s="73" t="inlineStr">
        <is>
          <t>Jungle</t>
        </is>
      </c>
      <c r="F15" s="72" t="inlineStr">
        <is>
          <t>All Starz</t>
        </is>
      </c>
      <c r="G15" s="70" t="n"/>
      <c r="H15" s="70" t="n"/>
    </row>
    <row r="16">
      <c r="A16" s="58" t="inlineStr">
        <is>
          <t>0:07:00</t>
        </is>
      </c>
      <c r="B16" s="65">
        <f>D15</f>
        <v/>
      </c>
      <c r="C16" s="66">
        <f>TIMEVALUE(A16)</f>
        <v/>
      </c>
      <c r="D16" s="67">
        <f>SUM(B16+C16)</f>
        <v/>
      </c>
      <c r="E16" s="73" t="inlineStr">
        <is>
          <t xml:space="preserve">CountMeOut </t>
        </is>
      </c>
      <c r="F16" s="72" t="inlineStr">
        <is>
          <t xml:space="preserve">Full Potential </t>
        </is>
      </c>
      <c r="G16" s="70" t="n"/>
      <c r="H16" s="70" t="n"/>
    </row>
    <row r="17">
      <c r="A17" s="58" t="inlineStr">
        <is>
          <t>0:07:00</t>
        </is>
      </c>
      <c r="B17" s="65">
        <f>D16</f>
        <v/>
      </c>
      <c r="C17" s="66">
        <f>TIMEVALUE(A17)</f>
        <v/>
      </c>
      <c r="D17" s="67">
        <f>SUM(B17+C17)</f>
        <v/>
      </c>
      <c r="E17" s="73" t="inlineStr">
        <is>
          <t>LSH</t>
        </is>
      </c>
      <c r="F17" s="69" t="inlineStr">
        <is>
          <t>Broadway Jazz - Instructor E</t>
        </is>
      </c>
      <c r="G17" s="70" t="n"/>
      <c r="H17" s="70" t="n"/>
    </row>
    <row r="18">
      <c r="A18" s="75" t="inlineStr">
        <is>
          <t>0:00:00</t>
        </is>
      </c>
      <c r="B18" s="76">
        <f>D17</f>
        <v/>
      </c>
      <c r="C18" s="77">
        <f>TIMEVALUE(A18)</f>
        <v/>
      </c>
      <c r="D18" s="78">
        <f>SUM(B18+C18)</f>
        <v/>
      </c>
      <c r="E18" s="79" t="inlineStr">
        <is>
          <t>-</t>
        </is>
      </c>
      <c r="F18" s="80" t="inlineStr">
        <is>
          <t>Host 1 &amp; Host 2 Closing</t>
        </is>
      </c>
      <c r="G18" s="70" t="n"/>
      <c r="H18" s="70" t="n"/>
    </row>
  </sheetData>
  <mergeCells count="1">
    <mergeCell ref="L1:O1"/>
  </mergeCells>
  <dataValidations count="1">
    <dataValidation sqref="A2:A18" showDropDown="0" showInputMessage="0" showErrorMessage="1" allowBlank="0" type="list">
      <formula1>"0:00:00,0:05:00,0:07:00,0:08:00"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14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103" min="2" max="2"/>
    <col width="19.5" customWidth="1" style="103" min="3" max="3"/>
    <col width="15.13" customWidth="1" style="103" min="4" max="4"/>
  </cols>
  <sheetData>
    <row r="1"/>
    <row r="2"/>
    <row r="3"/>
    <row r="4">
      <c r="B4" s="81" t="inlineStr">
        <is>
          <t xml:space="preserve">Time </t>
        </is>
      </c>
      <c r="C4" s="81" t="inlineStr">
        <is>
          <t>Event</t>
        </is>
      </c>
    </row>
    <row r="5">
      <c r="B5" s="82" t="inlineStr">
        <is>
          <t>12:30PM - 12:45PM</t>
        </is>
      </c>
      <c r="C5" s="82" t="inlineStr">
        <is>
          <t>Staff meeting</t>
        </is>
      </c>
      <c r="D5" s="83" t="n"/>
    </row>
    <row r="6">
      <c r="B6" s="85" t="inlineStr">
        <is>
          <t>12:45 PM-1:45 PM</t>
        </is>
      </c>
      <c r="C6" s="85" t="inlineStr">
        <is>
          <t>Set Up</t>
        </is>
      </c>
      <c r="D6" s="30" t="n"/>
    </row>
    <row r="7">
      <c r="B7" s="85" t="inlineStr">
        <is>
          <t>1:45 PM - 3:15 PM</t>
        </is>
      </c>
      <c r="C7" s="85" t="inlineStr">
        <is>
          <t xml:space="preserve">Run Tech </t>
        </is>
      </c>
      <c r="D7" s="86" t="n"/>
    </row>
    <row r="8">
      <c r="B8" s="85" t="inlineStr">
        <is>
          <t>3:15 PM - 3:45 PM</t>
        </is>
      </c>
      <c r="C8" s="85" t="inlineStr">
        <is>
          <t>Lunch</t>
        </is>
      </c>
      <c r="D8" s="30" t="n"/>
    </row>
    <row r="9" ht="22.5" customHeight="1" s="103">
      <c r="B9" s="85" t="inlineStr">
        <is>
          <t>4:10 PM - 4:30PM</t>
        </is>
      </c>
      <c r="C9" s="85" t="inlineStr">
        <is>
          <t xml:space="preserve"> Cast Meeting</t>
        </is>
      </c>
      <c r="D9" s="86" t="n"/>
    </row>
    <row r="10">
      <c r="B10" s="87" t="n">
        <v>0.6875</v>
      </c>
      <c r="C10" s="85" t="inlineStr">
        <is>
          <t>House Opens</t>
        </is>
      </c>
      <c r="D10" s="30" t="n"/>
    </row>
    <row r="11">
      <c r="B11" s="87" t="n">
        <v>0.7083333333333334</v>
      </c>
      <c r="C11" s="85" t="inlineStr">
        <is>
          <t>Show Starts</t>
        </is>
      </c>
      <c r="D11" s="30" t="n"/>
    </row>
    <row r="12">
      <c r="B12" s="88" t="n">
        <v>0.7673611111111112</v>
      </c>
      <c r="C12" s="90" t="inlineStr">
        <is>
          <t xml:space="preserve">End Time </t>
        </is>
      </c>
      <c r="D12" s="30" t="n"/>
    </row>
    <row r="13">
      <c r="B13" s="90" t="inlineStr">
        <is>
          <t>6:35 PM -7:00 PM</t>
        </is>
      </c>
      <c r="C13" s="90" t="inlineStr">
        <is>
          <t>Clean Up</t>
        </is>
      </c>
      <c r="D13" s="30" t="n"/>
    </row>
    <row r="14">
      <c r="B14" s="90" t="inlineStr">
        <is>
          <t xml:space="preserve">6 Hours 15 Minutes </t>
        </is>
      </c>
      <c r="C14" s="90" t="inlineStr">
        <is>
          <t>Total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2" t="n"/>
      <c r="B1" s="92" t="inlineStr">
        <is>
          <t>Groups</t>
        </is>
      </c>
      <c r="C1" s="92" t="n"/>
      <c r="D1" s="92" t="n"/>
      <c r="E1" s="92" t="inlineStr">
        <is>
          <t>Google Doc Submitted</t>
        </is>
      </c>
      <c r="F1" s="92" t="n"/>
      <c r="G1" s="92" t="inlineStr">
        <is>
          <t>Music Submitted</t>
        </is>
      </c>
      <c r="H1" s="92" t="n"/>
      <c r="I1" s="92" t="inlineStr">
        <is>
          <t>Photos Submitted</t>
        </is>
      </c>
      <c r="J1" s="93" t="n"/>
      <c r="K1" s="92" t="inlineStr">
        <is>
          <t>Blurbs</t>
        </is>
      </c>
    </row>
    <row r="2">
      <c r="A2" s="96" t="inlineStr">
        <is>
          <t>Contemporary</t>
        </is>
      </c>
      <c r="B2" s="95" t="inlineStr">
        <is>
          <t xml:space="preserve">Contemporary Beginner w/ Instructor B </t>
        </is>
      </c>
      <c r="C2" s="96" t="n"/>
      <c r="D2" s="96" t="n"/>
      <c r="E2" s="96" t="inlineStr">
        <is>
          <t>No</t>
        </is>
      </c>
      <c r="F2" s="96" t="n"/>
      <c r="G2" s="96" t="inlineStr">
        <is>
          <t>Yes</t>
        </is>
      </c>
      <c r="H2" s="96" t="n"/>
      <c r="I2" s="96" t="n"/>
      <c r="J2" s="96" t="n"/>
      <c r="K2" s="96" t="n"/>
      <c r="L2" s="96" t="n"/>
      <c r="M2" s="96" t="n"/>
      <c r="N2" s="96" t="n"/>
      <c r="O2" s="96" t="n"/>
      <c r="P2" s="96" t="n"/>
      <c r="Q2" s="96" t="n"/>
      <c r="R2" s="96" t="n"/>
      <c r="S2" s="96" t="n"/>
      <c r="T2" s="96" t="n"/>
      <c r="U2" s="96" t="n"/>
      <c r="V2" s="96" t="n"/>
      <c r="W2" s="96" t="n"/>
      <c r="X2" s="96" t="n"/>
      <c r="Y2" s="96" t="n"/>
      <c r="Z2" s="96" t="n"/>
    </row>
    <row r="3">
      <c r="A3" s="102" t="inlineStr">
        <is>
          <t>Heels</t>
        </is>
      </c>
      <c r="B3" s="98" t="inlineStr">
        <is>
          <t xml:space="preserve">Heels w/ Instructor D </t>
        </is>
      </c>
      <c r="C3" s="102" t="n"/>
      <c r="D3" s="102" t="n"/>
      <c r="E3" s="102" t="inlineStr">
        <is>
          <t>Yes</t>
        </is>
      </c>
      <c r="F3" s="102" t="n"/>
      <c r="G3" s="102" t="inlineStr">
        <is>
          <t>Yes</t>
        </is>
      </c>
      <c r="H3" s="102" t="n"/>
      <c r="I3" s="102" t="n"/>
      <c r="J3" s="102" t="n"/>
      <c r="K3" s="102" t="n"/>
    </row>
    <row r="4">
      <c r="A4" s="102" t="inlineStr">
        <is>
          <t>Choreo</t>
        </is>
      </c>
      <c r="B4" s="98" t="inlineStr">
        <is>
          <t xml:space="preserve">Hip Hop Beginner w/ Host 1 </t>
        </is>
      </c>
      <c r="C4" s="102" t="n"/>
      <c r="D4" s="102" t="n"/>
      <c r="E4" s="102" t="inlineStr">
        <is>
          <t>Yes</t>
        </is>
      </c>
      <c r="F4" s="102" t="n"/>
      <c r="G4" s="102" t="inlineStr">
        <is>
          <t>Yes</t>
        </is>
      </c>
      <c r="H4" s="102" t="n"/>
      <c r="I4" s="102" t="n"/>
      <c r="J4" s="102" t="n"/>
      <c r="K4" s="102" t="n"/>
    </row>
    <row r="5">
      <c r="A5" s="102" t="inlineStr">
        <is>
          <t xml:space="preserve">Choreo </t>
        </is>
      </c>
      <c r="B5" s="98" t="inlineStr">
        <is>
          <t xml:space="preserve">Hip Hop Int/Adv w/ Host 2 </t>
        </is>
      </c>
      <c r="C5" s="102" t="n"/>
      <c r="D5" s="102" t="n"/>
      <c r="E5" s="102" t="inlineStr">
        <is>
          <t>Yes</t>
        </is>
      </c>
      <c r="F5" s="102" t="n"/>
      <c r="G5" s="102" t="inlineStr">
        <is>
          <t>Yes</t>
        </is>
      </c>
      <c r="H5" s="102" t="n"/>
      <c r="I5" s="102" t="n"/>
      <c r="J5" s="102" t="n"/>
      <c r="K5" s="102" t="n"/>
    </row>
    <row r="6">
      <c r="A6" s="102" t="inlineStr">
        <is>
          <t xml:space="preserve">Kpop </t>
        </is>
      </c>
      <c r="B6" s="98" t="inlineStr">
        <is>
          <t xml:space="preserve">K-POP All Levels w/ Instructor A </t>
        </is>
      </c>
      <c r="C6" s="102" t="n"/>
      <c r="D6" s="102" t="n"/>
      <c r="E6" s="102" t="inlineStr">
        <is>
          <t>Yes</t>
        </is>
      </c>
      <c r="F6" s="102" t="n"/>
      <c r="G6" s="102" t="inlineStr">
        <is>
          <t>Yes</t>
        </is>
      </c>
      <c r="H6" s="102" t="n"/>
      <c r="I6" s="102" t="n"/>
      <c r="J6" s="102" t="n"/>
      <c r="K6" s="102" t="n"/>
    </row>
    <row r="7">
      <c r="A7" s="102" t="inlineStr">
        <is>
          <t>Tap</t>
        </is>
      </c>
      <c r="B7" s="98" t="inlineStr">
        <is>
          <t xml:space="preserve">Tap w/ Instructor C </t>
        </is>
      </c>
      <c r="C7" s="102" t="n"/>
      <c r="D7" s="102" t="n"/>
      <c r="E7" s="102" t="inlineStr">
        <is>
          <t>Yes</t>
        </is>
      </c>
      <c r="F7" s="102" t="n"/>
      <c r="G7" s="102" t="inlineStr">
        <is>
          <t>Yes</t>
        </is>
      </c>
      <c r="H7" s="102" t="n"/>
      <c r="I7" s="102" t="n"/>
      <c r="J7" s="102" t="n"/>
      <c r="K7" s="102" t="n"/>
    </row>
    <row r="8">
      <c r="A8" s="102" t="inlineStr">
        <is>
          <t>Jazz</t>
        </is>
      </c>
      <c r="B8" s="98" t="inlineStr">
        <is>
          <t>Commercial Jazz w/ Instructor C</t>
        </is>
      </c>
      <c r="C8" s="102" t="n"/>
      <c r="D8" s="102" t="n"/>
      <c r="E8" s="102" t="inlineStr">
        <is>
          <t>Yes</t>
        </is>
      </c>
      <c r="F8" s="102" t="n"/>
      <c r="G8" s="102" t="inlineStr">
        <is>
          <t>Yes</t>
        </is>
      </c>
      <c r="H8" s="102" t="n"/>
      <c r="I8" s="102" t="n"/>
      <c r="J8" s="102" t="n"/>
      <c r="K8" s="102" t="n"/>
    </row>
    <row r="9">
      <c r="A9" s="102" t="inlineStr">
        <is>
          <t>Choreo</t>
        </is>
      </c>
      <c r="B9" s="102" t="inlineStr">
        <is>
          <t>Full Potential*</t>
        </is>
      </c>
      <c r="C9" s="102" t="n"/>
      <c r="D9" s="102" t="n"/>
      <c r="E9" s="102" t="inlineStr">
        <is>
          <t>Yes</t>
        </is>
      </c>
      <c r="F9" s="102" t="n"/>
      <c r="G9" s="102" t="inlineStr">
        <is>
          <t>Yes</t>
        </is>
      </c>
      <c r="H9" s="102" t="n"/>
      <c r="I9" s="102" t="inlineStr">
        <is>
          <t>Yes</t>
        </is>
      </c>
      <c r="J9" s="102" t="n"/>
      <c r="K9" s="102" t="inlineStr">
        <is>
          <t>Submitted</t>
        </is>
      </c>
    </row>
    <row r="10">
      <c r="A10" s="102" t="inlineStr">
        <is>
          <t>KPop</t>
        </is>
      </c>
      <c r="B10" s="102" t="inlineStr">
        <is>
          <t>Synkronize*</t>
        </is>
      </c>
      <c r="E10" s="102" t="inlineStr">
        <is>
          <t>Yes</t>
        </is>
      </c>
      <c r="G10" s="102" t="inlineStr">
        <is>
          <t>No</t>
        </is>
      </c>
      <c r="I10" s="102" t="inlineStr">
        <is>
          <t>No</t>
        </is>
      </c>
      <c r="K10" s="102" t="inlineStr">
        <is>
          <t>submitted</t>
        </is>
      </c>
    </row>
    <row r="11">
      <c r="A11" s="102" t="inlineStr">
        <is>
          <t>KPop</t>
        </is>
      </c>
      <c r="B11" s="102" t="inlineStr">
        <is>
          <t>All Starz*</t>
        </is>
      </c>
      <c r="C11" s="102" t="n"/>
      <c r="D11" s="102" t="n"/>
      <c r="E11" s="102" t="inlineStr">
        <is>
          <t>Yes</t>
        </is>
      </c>
      <c r="F11" s="102" t="n"/>
      <c r="G11" s="102" t="inlineStr">
        <is>
          <t>Yes</t>
        </is>
      </c>
      <c r="H11" s="102" t="n"/>
      <c r="I11" s="102" t="inlineStr">
        <is>
          <t>Yes</t>
        </is>
      </c>
      <c r="J11" s="102" t="n"/>
      <c r="K11" s="102" t="inlineStr">
        <is>
          <t>Submitted</t>
        </is>
      </c>
    </row>
    <row r="12">
      <c r="A12" s="102" t="inlineStr">
        <is>
          <t>Jazz</t>
        </is>
      </c>
      <c r="B12" s="98" t="inlineStr">
        <is>
          <t xml:space="preserve">Broadway Jazz w/ Instructor E </t>
        </is>
      </c>
      <c r="C12" s="102" t="n"/>
      <c r="D12" s="102" t="n"/>
      <c r="E12" s="102" t="inlineStr">
        <is>
          <t>Yes</t>
        </is>
      </c>
      <c r="F12" s="102" t="n"/>
      <c r="G12" s="102" t="inlineStr">
        <is>
          <t>Yes</t>
        </is>
      </c>
      <c r="H12" s="102" t="n"/>
      <c r="I12" s="102" t="n"/>
      <c r="J12" s="102" t="n"/>
      <c r="K12" s="102" t="n"/>
    </row>
    <row r="13">
      <c r="A13" s="102" t="inlineStr">
        <is>
          <t>KPop</t>
        </is>
      </c>
      <c r="B13" s="102" t="inlineStr">
        <is>
          <t>KDCosmix*</t>
        </is>
      </c>
      <c r="C13" s="102" t="n"/>
      <c r="D13" s="102" t="n"/>
      <c r="E13" s="102" t="inlineStr">
        <is>
          <t>Yes</t>
        </is>
      </c>
      <c r="F13" s="102" t="n"/>
      <c r="G13" s="102" t="inlineStr">
        <is>
          <t>Yes</t>
        </is>
      </c>
      <c r="H13" s="102" t="n"/>
      <c r="I13" s="102" t="inlineStr">
        <is>
          <t>Yes</t>
        </is>
      </c>
      <c r="J13" s="102" t="n"/>
      <c r="K13" s="102" t="inlineStr">
        <is>
          <t>Submitted</t>
        </is>
      </c>
    </row>
    <row r="14">
      <c r="A14" s="102" t="inlineStr">
        <is>
          <t>Swing</t>
        </is>
      </c>
      <c r="B14" s="102" t="inlineStr">
        <is>
          <t>Zohard Lindsay Hoppers</t>
        </is>
      </c>
      <c r="C14" s="102" t="n"/>
      <c r="D14" s="102" t="n"/>
      <c r="E14" s="102" t="inlineStr">
        <is>
          <t>Yes</t>
        </is>
      </c>
      <c r="F14" s="102" t="n"/>
      <c r="G14" s="102" t="inlineStr">
        <is>
          <t>Yes</t>
        </is>
      </c>
      <c r="H14" s="102" t="n"/>
      <c r="I14" s="102" t="inlineStr">
        <is>
          <t>No</t>
        </is>
      </c>
      <c r="J14" s="102" t="n"/>
      <c r="K14" s="102" t="inlineStr">
        <is>
          <t>Submitted</t>
        </is>
      </c>
    </row>
  </sheetData>
  <dataValidations count="2">
    <dataValidation sqref="E2:E14 G2:G14 I3:I14" showDropDown="0" showInputMessage="0" showErrorMessage="1" allowBlank="0" type="list">
      <formula1>"Yes,No"</formula1>
    </dataValidation>
    <dataValidation sqref="I2" showDropDown="0" showInputMessage="0" showErrorMessage="1" allowBlank="0" type="list">
      <formula1>"Yes,No,N/A"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Dunai Sanchez</dc:creator>
  <dc:title xmlns:dc="http://purl.org/dc/elements/1.1/">Purdance Studio Showcase — Show Calculator (portfolio sample)</dc:title>
  <dcterms:created xmlns:dcterms="http://purl.org/dc/terms/" xmlns:xsi="http://www.w3.org/2001/XMLSchema-instance" xsi:type="dcterms:W3CDTF">2026-10-06T23:29:08+00:00Z</dcterms:created>
  <dcterms:modified xmlns:dcterms="http://purl.org/dc/terms/" xmlns:xsi="http://www.w3.org/2001/XMLSchema-instance" xsi:type="dcterms:W3CDTF">2026-10-06T23:29:08+00:00Z</dcterms:modified>
  <cp:lastModifiedBy>Dunai Sanchez</cp:lastModifiedBy>
</cp:coreProperties>
</file>